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/Downloads/"/>
    </mc:Choice>
  </mc:AlternateContent>
  <xr:revisionPtr revIDLastSave="0" documentId="8_{43679A45-D5F7-2746-995F-F4738854D3C5}" xr6:coauthVersionLast="47" xr6:coauthVersionMax="47" xr10:uidLastSave="{00000000-0000-0000-0000-000000000000}"/>
  <bookViews>
    <workbookView xWindow="3980" yWindow="-17140" windowWidth="25980" windowHeight="16220" xr2:uid="{613B242D-71E0-44CF-A5C8-238791DDFA60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D21" i="2"/>
  <c r="E20" i="2"/>
  <c r="D20" i="2"/>
  <c r="E19" i="2"/>
  <c r="D19" i="2"/>
  <c r="E18" i="2"/>
  <c r="D18" i="2"/>
  <c r="E17" i="2"/>
  <c r="D17" i="2"/>
  <c r="E16" i="2"/>
  <c r="E15" i="2"/>
  <c r="D15" i="2"/>
  <c r="E14" i="2"/>
  <c r="D14" i="2"/>
  <c r="E13" i="2"/>
  <c r="D13" i="2"/>
  <c r="E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E4" i="2"/>
  <c r="D4" i="2"/>
  <c r="E3" i="2"/>
  <c r="D3" i="2"/>
  <c r="E2" i="2"/>
</calcChain>
</file>

<file path=xl/sharedStrings.xml><?xml version="1.0" encoding="utf-8"?>
<sst xmlns="http://schemas.openxmlformats.org/spreadsheetml/2006/main" count="48" uniqueCount="37">
  <si>
    <t>Hutang</t>
  </si>
  <si>
    <t>Nicky</t>
  </si>
  <si>
    <t>Khallensius Wijaya</t>
  </si>
  <si>
    <t>Angela Chyntia PPER</t>
  </si>
  <si>
    <t xml:space="preserve">Fachrul Ramadhan </t>
  </si>
  <si>
    <t>Ceffie Setiyawan</t>
  </si>
  <si>
    <t>HP</t>
  </si>
  <si>
    <t>Gaji Pokok</t>
  </si>
  <si>
    <t>BPJS (PV)</t>
  </si>
  <si>
    <t>BPJS (Karyawan)</t>
  </si>
  <si>
    <t>Rapel/THR</t>
  </si>
  <si>
    <t>Divisi</t>
  </si>
  <si>
    <t>Robert Makadada</t>
  </si>
  <si>
    <t>Sherine Devi Soeandy</t>
  </si>
  <si>
    <t>Dian Ramdani</t>
  </si>
  <si>
    <t>Deni Setya</t>
  </si>
  <si>
    <t>Adeltrudis Heidi</t>
  </si>
  <si>
    <t>Retno Nungky Pratiwi</t>
  </si>
  <si>
    <t>Hibattullah</t>
  </si>
  <si>
    <t>Alexander Nico Triantanto</t>
  </si>
  <si>
    <t>Ronald Sihombing</t>
  </si>
  <si>
    <t>Ellen Yuniar</t>
  </si>
  <si>
    <t>Kristina Yuliastanti</t>
  </si>
  <si>
    <t>Ema Ratna</t>
  </si>
  <si>
    <t>Rizky Febri Valentina</t>
  </si>
  <si>
    <t>Muhammad Syaukani</t>
  </si>
  <si>
    <t>Bambang DS</t>
  </si>
  <si>
    <t>Creative</t>
  </si>
  <si>
    <t>Operational</t>
  </si>
  <si>
    <t>Event DH</t>
  </si>
  <si>
    <t>Premium, Sports, Retail, NTOP, Event DD</t>
  </si>
  <si>
    <t>Premium</t>
  </si>
  <si>
    <t>Sports, Retail, Event DD</t>
  </si>
  <si>
    <t>Finance, HR &amp; GA</t>
  </si>
  <si>
    <t>Finance</t>
  </si>
  <si>
    <t>HR &amp; GA</t>
  </si>
  <si>
    <t>Nama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</si>
</sst>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3" fontId="0" fillId="0" borderId="0" xfId="0" applyNumberFormat="1"/>
    <xf numFmtId="3" fontId="3" fillId="0" borderId="0" xfId="0" quotePrefix="1" applyNumberFormat="1" applyFont="1"/>
    <xf numFmtId="3" fontId="0" fillId="0" borderId="0" xfId="0" quotePrefix="1" applyNumberFormat="1"/>
    <xf numFmtId="164" fontId="3" fillId="0" borderId="0" xfId="1" applyFont="1" applyAlignment="1"/>
    <xf numFmtId="164" fontId="0" fillId="0" borderId="0" xfId="1" applyFont="1"/>
    <xf numFmtId="0" fontId="2" fillId="0" borderId="0" xfId="0" applyFont="1"/>
    <xf numFmtId="164" fontId="2" fillId="0" borderId="0" xfId="1" applyFont="1"/>
    <xf numFmtId="3" fontId="0" fillId="0" borderId="0" xfId="0" applyNumberFormat="1" applyAlignment="1">
      <alignment vertical="center"/>
    </xf>
    <xf numFmtId="0" fontId="3" fillId="0" borderId="0" xfId="0" quotePrefix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3A0C-20AE-429E-B3D7-E4D71594E050}">
  <dimension ref="A1:H21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22.6640625" bestFit="1" customWidth="1"/>
    <col min="2" max="2" width="14.33203125" style="6" customWidth="1"/>
    <col min="3" max="3" width="11.83203125" style="6" customWidth="1"/>
    <col min="4" max="4" width="10.33203125" style="6" bestFit="1" customWidth="1"/>
    <col min="5" max="5" width="15.83203125" style="6" customWidth="1"/>
    <col min="6" max="6" width="11.5" style="6" customWidth="1"/>
    <col min="7" max="7" width="11.1640625" style="6" bestFit="1" customWidth="1"/>
    <col min="8" max="8" width="32.33203125" bestFit="1" customWidth="1"/>
  </cols>
  <sheetData>
    <row r="1" spans="1:8" s="7" customFormat="1" x14ac:dyDescent="0.2">
      <c r="A1" s="7" t="s">
        <v>36</v>
      </c>
      <c r="B1" s="8" t="s">
        <v>7</v>
      </c>
      <c r="C1" s="8" t="s">
        <v>6</v>
      </c>
      <c r="D1" s="8" t="s">
        <v>8</v>
      </c>
      <c r="E1" s="8" t="s">
        <v>9</v>
      </c>
      <c r="F1" s="8" t="s">
        <v>0</v>
      </c>
      <c r="G1" s="8" t="s">
        <v>10</v>
      </c>
      <c r="H1" s="7" t="s">
        <v>11</v>
      </c>
    </row>
    <row r="2" spans="1:8" x14ac:dyDescent="0.2">
      <c r="A2" s="3" t="s">
        <v>12</v>
      </c>
      <c r="B2" s="6">
        <v>10000000</v>
      </c>
      <c r="D2" s="2">
        <v>850000</v>
      </c>
      <c r="E2" s="2">
        <f>-277500-110863-120000</f>
        <v>-508363</v>
      </c>
      <c r="H2" t="s">
        <v>27</v>
      </c>
    </row>
    <row r="3" spans="1:8" x14ac:dyDescent="0.2">
      <c r="A3" s="9" t="s">
        <v>13</v>
      </c>
      <c r="B3" s="6">
        <v>10000000</v>
      </c>
      <c r="D3" s="2">
        <f>240000+254400+120000</f>
        <v>614400</v>
      </c>
      <c r="E3" s="2">
        <f>-180000-60000</f>
        <v>-240000</v>
      </c>
      <c r="H3" t="s">
        <v>27</v>
      </c>
    </row>
    <row r="4" spans="1:8" x14ac:dyDescent="0.2">
      <c r="A4" s="4" t="s">
        <v>14</v>
      </c>
      <c r="B4" s="6">
        <v>10000000</v>
      </c>
      <c r="D4" s="2">
        <f>242947+114598+229195</f>
        <v>586740</v>
      </c>
      <c r="E4" s="2">
        <f>-114598-57299*2</f>
        <v>-229196</v>
      </c>
      <c r="H4" t="s">
        <v>28</v>
      </c>
    </row>
    <row r="5" spans="1:8" x14ac:dyDescent="0.2">
      <c r="A5" s="10" t="s">
        <v>15</v>
      </c>
      <c r="B5" s="6">
        <v>10000000</v>
      </c>
      <c r="C5" s="6">
        <v>100000</v>
      </c>
      <c r="D5" s="2">
        <v>800000</v>
      </c>
      <c r="E5" s="2">
        <f>-120000-262500-110863</f>
        <v>-493363</v>
      </c>
      <c r="H5" t="s">
        <v>29</v>
      </c>
    </row>
    <row r="6" spans="1:8" x14ac:dyDescent="0.2">
      <c r="A6" s="1" t="s">
        <v>16</v>
      </c>
      <c r="B6" s="6">
        <v>10000000</v>
      </c>
      <c r="C6" s="6">
        <v>100000</v>
      </c>
      <c r="D6" s="2">
        <f>336000+356160+168000</f>
        <v>860160</v>
      </c>
      <c r="E6" s="2">
        <f>-84000-168000-84000</f>
        <v>-336000</v>
      </c>
      <c r="H6" t="s">
        <v>29</v>
      </c>
    </row>
    <row r="7" spans="1:8" x14ac:dyDescent="0.2">
      <c r="A7" s="3" t="s">
        <v>1</v>
      </c>
      <c r="B7" s="6">
        <v>10000000</v>
      </c>
      <c r="C7" s="6">
        <v>100000</v>
      </c>
      <c r="D7" s="2">
        <f>209915+233200+110000</f>
        <v>553115</v>
      </c>
      <c r="E7" s="2">
        <f>-55000-110000-52479</f>
        <v>-217479</v>
      </c>
      <c r="H7" t="s">
        <v>29</v>
      </c>
    </row>
    <row r="8" spans="1:8" x14ac:dyDescent="0.2">
      <c r="A8" s="5" t="s">
        <v>2</v>
      </c>
      <c r="B8" s="6">
        <v>10000000</v>
      </c>
      <c r="C8" s="6">
        <v>100000</v>
      </c>
      <c r="D8" s="2">
        <f>222510+104957+209915</f>
        <v>537382</v>
      </c>
      <c r="E8" s="2">
        <f>-104957-52479*2</f>
        <v>-209915</v>
      </c>
      <c r="H8" t="s">
        <v>29</v>
      </c>
    </row>
    <row r="9" spans="1:8" x14ac:dyDescent="0.2">
      <c r="A9" s="3" t="s">
        <v>3</v>
      </c>
      <c r="B9" s="6">
        <v>10000000</v>
      </c>
      <c r="C9" s="6">
        <v>100000</v>
      </c>
      <c r="D9" s="2">
        <f>222510+104957+209915</f>
        <v>537382</v>
      </c>
      <c r="E9" s="2">
        <f>-104957-52479*2</f>
        <v>-209915</v>
      </c>
      <c r="H9" t="s">
        <v>29</v>
      </c>
    </row>
    <row r="10" spans="1:8" x14ac:dyDescent="0.2">
      <c r="A10" s="3" t="s">
        <v>4</v>
      </c>
      <c r="B10" s="6">
        <v>10000000</v>
      </c>
      <c r="C10" s="6">
        <v>100000</v>
      </c>
      <c r="D10" s="2">
        <f>222510+104957+209915</f>
        <v>537382</v>
      </c>
      <c r="E10" s="2">
        <f>-104957-52479-52479</f>
        <v>-209915</v>
      </c>
      <c r="H10" t="s">
        <v>29</v>
      </c>
    </row>
    <row r="11" spans="1:8" x14ac:dyDescent="0.2">
      <c r="A11" s="5" t="s">
        <v>5</v>
      </c>
      <c r="B11" s="6">
        <v>10000000</v>
      </c>
      <c r="D11" s="2">
        <f>222510+104957+209915</f>
        <v>537382</v>
      </c>
      <c r="E11" s="2">
        <f>-104957-52479-104958</f>
        <v>-262394</v>
      </c>
      <c r="H11" t="s">
        <v>29</v>
      </c>
    </row>
    <row r="12" spans="1:8" x14ac:dyDescent="0.2">
      <c r="A12" s="3" t="s">
        <v>17</v>
      </c>
      <c r="B12" s="6">
        <v>10000000</v>
      </c>
      <c r="C12" s="6">
        <v>100000</v>
      </c>
      <c r="D12" s="2">
        <v>850000</v>
      </c>
      <c r="E12" s="2">
        <f>-120000-300000-110863</f>
        <v>-530863</v>
      </c>
      <c r="H12" t="s">
        <v>30</v>
      </c>
    </row>
    <row r="13" spans="1:8" x14ac:dyDescent="0.2">
      <c r="A13" s="4" t="s">
        <v>18</v>
      </c>
      <c r="B13" s="6">
        <v>10000000</v>
      </c>
      <c r="C13" s="6">
        <v>50000</v>
      </c>
      <c r="D13" s="2">
        <f>229195+242947+114598</f>
        <v>586740</v>
      </c>
      <c r="E13" s="2">
        <f>-57299*2-114598</f>
        <v>-229196</v>
      </c>
      <c r="H13" t="s">
        <v>31</v>
      </c>
    </row>
    <row r="14" spans="1:8" x14ac:dyDescent="0.2">
      <c r="A14" s="1" t="s">
        <v>19</v>
      </c>
      <c r="B14" s="6">
        <v>10000000</v>
      </c>
      <c r="D14" s="2">
        <f>249312+117600</f>
        <v>366912</v>
      </c>
      <c r="E14" s="2">
        <f>-117600-58800</f>
        <v>-176400</v>
      </c>
      <c r="H14" t="s">
        <v>32</v>
      </c>
    </row>
    <row r="15" spans="1:8" x14ac:dyDescent="0.2">
      <c r="A15" s="1" t="s">
        <v>20</v>
      </c>
      <c r="B15" s="6">
        <v>10000000</v>
      </c>
      <c r="D15" s="2">
        <f>242947+114598+229195</f>
        <v>586740</v>
      </c>
      <c r="E15" s="2">
        <f>-114598-57299*2</f>
        <v>-229196</v>
      </c>
      <c r="H15" t="s">
        <v>31</v>
      </c>
    </row>
    <row r="16" spans="1:8" x14ac:dyDescent="0.2">
      <c r="A16" s="4" t="s">
        <v>21</v>
      </c>
      <c r="B16" s="6">
        <v>10000000</v>
      </c>
      <c r="D16" s="2">
        <v>700000</v>
      </c>
      <c r="E16" s="2">
        <f>-217500-108750-108750</f>
        <v>-435000</v>
      </c>
      <c r="H16" t="s">
        <v>33</v>
      </c>
    </row>
    <row r="17" spans="1:8" x14ac:dyDescent="0.2">
      <c r="A17" s="1" t="s">
        <v>22</v>
      </c>
      <c r="B17" s="6">
        <v>10000000</v>
      </c>
      <c r="D17" s="2">
        <f>296000+313760+148000</f>
        <v>757760</v>
      </c>
      <c r="E17" s="2">
        <f>-74000-148000-74000</f>
        <v>-296000</v>
      </c>
      <c r="H17" t="s">
        <v>34</v>
      </c>
    </row>
    <row r="18" spans="1:8" x14ac:dyDescent="0.2">
      <c r="A18" s="4" t="s">
        <v>23</v>
      </c>
      <c r="B18" s="6">
        <v>10000000</v>
      </c>
      <c r="D18" s="2">
        <f>229195+242947+114598</f>
        <v>586740</v>
      </c>
      <c r="E18" s="2">
        <f>-57299*2-114598</f>
        <v>-229196</v>
      </c>
      <c r="H18" t="s">
        <v>35</v>
      </c>
    </row>
    <row r="19" spans="1:8" x14ac:dyDescent="0.2">
      <c r="A19" s="4" t="s">
        <v>24</v>
      </c>
      <c r="B19" s="6">
        <v>10000000</v>
      </c>
      <c r="D19" s="2">
        <f>229195+242947+114598</f>
        <v>586740</v>
      </c>
      <c r="E19" s="2">
        <f>-57299*2-114598</f>
        <v>-229196</v>
      </c>
      <c r="H19" t="s">
        <v>35</v>
      </c>
    </row>
    <row r="20" spans="1:8" x14ac:dyDescent="0.2">
      <c r="A20" s="4" t="s">
        <v>25</v>
      </c>
      <c r="B20" s="6">
        <v>10000000</v>
      </c>
      <c r="D20" s="2">
        <f>229195+242947+114598</f>
        <v>586740</v>
      </c>
      <c r="E20" s="2">
        <f>-57299-114598-57299</f>
        <v>-229196</v>
      </c>
      <c r="H20" t="s">
        <v>35</v>
      </c>
    </row>
    <row r="21" spans="1:8" x14ac:dyDescent="0.2">
      <c r="A21" s="4" t="s">
        <v>26</v>
      </c>
      <c r="B21" s="6">
        <v>10000000</v>
      </c>
      <c r="D21" s="2">
        <f>264576+124800+249600</f>
        <v>638976</v>
      </c>
      <c r="E21" s="2">
        <f>-124800-62400*2</f>
        <v>-249600</v>
      </c>
      <c r="H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Yuniar</dc:creator>
  <cp:lastModifiedBy>office36298</cp:lastModifiedBy>
  <dcterms:created xsi:type="dcterms:W3CDTF">2026-05-28T03:08:29Z</dcterms:created>
  <dcterms:modified xsi:type="dcterms:W3CDTF">2026-06-03T09:20:52Z</dcterms:modified>
</cp:coreProperties>
</file>